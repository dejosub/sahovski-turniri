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dfc6d04053dfc8/Dokumenti/Crkva/Sah/Sabloni/"/>
    </mc:Choice>
  </mc:AlternateContent>
  <xr:revisionPtr revIDLastSave="230" documentId="8_{22A200F7-A678-4EB4-B245-22DA4215F553}" xr6:coauthVersionLast="47" xr6:coauthVersionMax="47" xr10:uidLastSave="{7C2DD810-A79D-4F31-97BF-A3F2935EBB84}"/>
  <bookViews>
    <workbookView xWindow="24075" yWindow="3645" windowWidth="30930" windowHeight="23445" xr2:uid="{083F08C4-2BB5-49BE-8693-64F3869732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K11" i="1" s="1"/>
  <c r="J10" i="1"/>
  <c r="K10" i="1" s="1"/>
  <c r="J9" i="1"/>
  <c r="K9" i="1" s="1"/>
  <c r="J8" i="1"/>
  <c r="K8" i="1" s="1"/>
  <c r="J7" i="1"/>
  <c r="K7" i="1" s="1"/>
  <c r="J6" i="1"/>
  <c r="K6" i="1" s="1"/>
  <c r="J5" i="1"/>
  <c r="K5" i="1" s="1"/>
  <c r="J4" i="1"/>
  <c r="K4" i="1" s="1"/>
  <c r="J3" i="1"/>
  <c r="K3" i="1" s="1"/>
  <c r="J2" i="1"/>
  <c r="K2" i="1"/>
  <c r="O4" i="1"/>
  <c r="N8" i="1" s="1"/>
  <c r="O5" i="1" l="1"/>
  <c r="N9" i="1"/>
  <c r="P4" i="1" l="1"/>
  <c r="P5" i="1"/>
</calcChain>
</file>

<file path=xl/sharedStrings.xml><?xml version="1.0" encoding="utf-8"?>
<sst xmlns="http://schemas.openxmlformats.org/spreadsheetml/2006/main" count="33" uniqueCount="28">
  <si>
    <t>Igrac 10</t>
  </si>
  <si>
    <t>Kolo 1</t>
  </si>
  <si>
    <t>Kolo 2</t>
  </si>
  <si>
    <t>Kolo 3</t>
  </si>
  <si>
    <t>Kolo 4</t>
  </si>
  <si>
    <t>Kolo 5</t>
  </si>
  <si>
    <t>Pocetak</t>
  </si>
  <si>
    <t>Rejting 1</t>
  </si>
  <si>
    <t>Rejting 2</t>
  </si>
  <si>
    <t>K faktor</t>
  </si>
  <si>
    <t>Pobjeda</t>
  </si>
  <si>
    <t>Poraz</t>
  </si>
  <si>
    <t>Rezultat</t>
  </si>
  <si>
    <t>Kolo 2, korak 3</t>
  </si>
  <si>
    <t>x</t>
  </si>
  <si>
    <t>Igrac 01</t>
  </si>
  <si>
    <t>Igrac 02</t>
  </si>
  <si>
    <t>Igrac 03</t>
  </si>
  <si>
    <t>Igrac 04</t>
  </si>
  <si>
    <t>Igrac 05</t>
  </si>
  <si>
    <t>Igrac 06</t>
  </si>
  <si>
    <t>Igrac 07</t>
  </si>
  <si>
    <t>Igrac 08</t>
  </si>
  <si>
    <t>Igrac 09</t>
  </si>
  <si>
    <t>Kolo 3, korak 2</t>
  </si>
  <si>
    <t>Bodovi</t>
  </si>
  <si>
    <t>Kolo 4, korak 1</t>
  </si>
  <si>
    <t>Kolo 5, korak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</si>
</sst>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A0CCD-6DE5-41E6-815C-0E073367873E}">
  <dimension ref="A1:P63"/>
  <sheetViews>
    <sheetView tabSelected="1" workbookViewId="0">
      <selection activeCell="N6" sqref="N6"/>
    </sheetView>
  </sheetViews>
  <sheetFormatPr defaultRowHeight="15" x14ac:dyDescent="0.25"/>
  <cols>
    <col min="1" max="1" width="14.85546875" customWidth="1"/>
    <col min="2" max="2" width="15.28515625" customWidth="1"/>
    <col min="3" max="3" width="22.7109375" customWidth="1"/>
    <col min="4" max="4" width="20.7109375" customWidth="1"/>
    <col min="10" max="10" width="11.85546875" customWidth="1"/>
  </cols>
  <sheetData>
    <row r="1" spans="1:16" x14ac:dyDescent="0.25">
      <c r="B1" t="s">
        <v>25</v>
      </c>
      <c r="C1" t="s">
        <v>6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16" x14ac:dyDescent="0.25">
      <c r="A2" t="s">
        <v>15</v>
      </c>
      <c r="B2" s="2">
        <v>5</v>
      </c>
      <c r="C2">
        <v>1400</v>
      </c>
      <c r="D2">
        <v>1420</v>
      </c>
      <c r="E2">
        <v>1440</v>
      </c>
      <c r="F2">
        <v>1460</v>
      </c>
      <c r="G2">
        <v>1480</v>
      </c>
      <c r="H2">
        <v>1495</v>
      </c>
      <c r="J2">
        <f>(B2-2.5)*$N$3</f>
        <v>100</v>
      </c>
      <c r="K2">
        <f>1400+J2</f>
        <v>1500</v>
      </c>
      <c r="O2" s="1"/>
    </row>
    <row r="3" spans="1:16" x14ac:dyDescent="0.25">
      <c r="A3" t="s">
        <v>16</v>
      </c>
      <c r="B3" s="2">
        <v>4</v>
      </c>
      <c r="C3">
        <v>1400</v>
      </c>
      <c r="D3">
        <v>1420</v>
      </c>
      <c r="E3">
        <v>1440</v>
      </c>
      <c r="F3">
        <v>1458</v>
      </c>
      <c r="G3">
        <v>1438</v>
      </c>
      <c r="H3">
        <v>1458</v>
      </c>
      <c r="J3">
        <f t="shared" ref="J3:J11" si="0">(B3-2.5)*$N$3</f>
        <v>60</v>
      </c>
      <c r="K3">
        <f t="shared" ref="K3:K11" si="1">1400+J3</f>
        <v>1460</v>
      </c>
      <c r="M3" t="s">
        <v>9</v>
      </c>
      <c r="N3">
        <v>40</v>
      </c>
      <c r="O3" s="1" t="s">
        <v>10</v>
      </c>
      <c r="P3" t="s">
        <v>11</v>
      </c>
    </row>
    <row r="4" spans="1:16" x14ac:dyDescent="0.25">
      <c r="A4" t="s">
        <v>21</v>
      </c>
      <c r="B4" s="2">
        <v>3</v>
      </c>
      <c r="C4">
        <v>1400</v>
      </c>
      <c r="D4">
        <v>1380</v>
      </c>
      <c r="E4">
        <v>1400</v>
      </c>
      <c r="F4">
        <v>1380</v>
      </c>
      <c r="G4">
        <v>1400</v>
      </c>
      <c r="H4">
        <v>1420</v>
      </c>
      <c r="J4">
        <f t="shared" si="0"/>
        <v>20</v>
      </c>
      <c r="K4">
        <f t="shared" si="1"/>
        <v>1420</v>
      </c>
      <c r="M4" t="s">
        <v>7</v>
      </c>
      <c r="N4">
        <v>1420</v>
      </c>
      <c r="O4" s="1">
        <f>N4 + ROUND( N3 * (N6 - 1 / (1 + 10^((N5 - N4) / 400))), 0)</f>
        <v>1438</v>
      </c>
      <c r="P4" s="1">
        <f>N4-N9</f>
        <v>1398</v>
      </c>
    </row>
    <row r="5" spans="1:16" x14ac:dyDescent="0.25">
      <c r="A5" t="s">
        <v>17</v>
      </c>
      <c r="B5" s="2">
        <v>3</v>
      </c>
      <c r="C5">
        <v>1400</v>
      </c>
      <c r="D5">
        <v>1420</v>
      </c>
      <c r="E5">
        <v>1438</v>
      </c>
      <c r="F5">
        <v>1418</v>
      </c>
      <c r="G5">
        <v>1438</v>
      </c>
      <c r="H5">
        <v>1418</v>
      </c>
      <c r="J5">
        <f t="shared" si="0"/>
        <v>20</v>
      </c>
      <c r="K5">
        <f t="shared" si="1"/>
        <v>1420</v>
      </c>
      <c r="M5" t="s">
        <v>8</v>
      </c>
      <c r="N5">
        <v>1380</v>
      </c>
      <c r="O5" s="1">
        <f>N5-N8</f>
        <v>1362</v>
      </c>
      <c r="P5" s="1">
        <f>N5+N9</f>
        <v>1402</v>
      </c>
    </row>
    <row r="6" spans="1:16" x14ac:dyDescent="0.25">
      <c r="A6" t="s">
        <v>18</v>
      </c>
      <c r="B6" s="2">
        <v>3</v>
      </c>
      <c r="C6">
        <v>1400</v>
      </c>
      <c r="D6">
        <v>1420</v>
      </c>
      <c r="E6">
        <v>1400</v>
      </c>
      <c r="F6">
        <v>1382</v>
      </c>
      <c r="G6">
        <v>1402</v>
      </c>
      <c r="H6">
        <v>1417</v>
      </c>
      <c r="J6">
        <f t="shared" si="0"/>
        <v>20</v>
      </c>
      <c r="K6">
        <f t="shared" si="1"/>
        <v>1420</v>
      </c>
      <c r="M6" t="s">
        <v>12</v>
      </c>
      <c r="N6">
        <v>1</v>
      </c>
      <c r="O6" s="1"/>
    </row>
    <row r="7" spans="1:16" x14ac:dyDescent="0.25">
      <c r="A7" t="s">
        <v>19</v>
      </c>
      <c r="B7" s="2">
        <v>2</v>
      </c>
      <c r="C7">
        <v>1400</v>
      </c>
      <c r="D7">
        <v>1420</v>
      </c>
      <c r="E7">
        <v>1400</v>
      </c>
      <c r="F7">
        <v>1420</v>
      </c>
      <c r="G7">
        <v>1400</v>
      </c>
      <c r="H7">
        <v>1385</v>
      </c>
      <c r="J7">
        <f t="shared" si="0"/>
        <v>-20</v>
      </c>
      <c r="K7">
        <f t="shared" si="1"/>
        <v>1380</v>
      </c>
      <c r="N7" s="1"/>
    </row>
    <row r="8" spans="1:16" x14ac:dyDescent="0.25">
      <c r="A8" t="s">
        <v>20</v>
      </c>
      <c r="B8" s="2">
        <v>2</v>
      </c>
      <c r="C8">
        <v>1400</v>
      </c>
      <c r="D8">
        <v>1380</v>
      </c>
      <c r="E8">
        <v>1363</v>
      </c>
      <c r="F8">
        <v>1385</v>
      </c>
      <c r="G8">
        <v>1365</v>
      </c>
      <c r="H8">
        <v>1385</v>
      </c>
      <c r="J8">
        <f t="shared" si="0"/>
        <v>-20</v>
      </c>
      <c r="K8">
        <f t="shared" si="1"/>
        <v>1380</v>
      </c>
      <c r="M8" t="s">
        <v>10</v>
      </c>
      <c r="N8" s="1">
        <f>O4-N4</f>
        <v>18</v>
      </c>
    </row>
    <row r="9" spans="1:16" x14ac:dyDescent="0.25">
      <c r="A9" t="s">
        <v>22</v>
      </c>
      <c r="B9" s="2">
        <v>2</v>
      </c>
      <c r="C9">
        <v>1400</v>
      </c>
      <c r="D9">
        <v>1380</v>
      </c>
      <c r="E9">
        <v>1400</v>
      </c>
      <c r="F9">
        <v>1378</v>
      </c>
      <c r="G9">
        <v>1396</v>
      </c>
      <c r="H9">
        <v>1376</v>
      </c>
      <c r="J9">
        <f t="shared" si="0"/>
        <v>-20</v>
      </c>
      <c r="K9">
        <f t="shared" si="1"/>
        <v>1380</v>
      </c>
      <c r="M9" t="s">
        <v>11</v>
      </c>
      <c r="N9" s="1">
        <f>N3-N8</f>
        <v>22</v>
      </c>
    </row>
    <row r="10" spans="1:16" x14ac:dyDescent="0.25">
      <c r="A10" t="s">
        <v>23</v>
      </c>
      <c r="B10" s="2">
        <v>1</v>
      </c>
      <c r="C10">
        <v>1400</v>
      </c>
      <c r="D10">
        <v>1380</v>
      </c>
      <c r="E10">
        <v>1360</v>
      </c>
      <c r="F10">
        <v>1380</v>
      </c>
      <c r="G10">
        <v>1360</v>
      </c>
      <c r="H10">
        <v>1340</v>
      </c>
      <c r="J10">
        <f t="shared" si="0"/>
        <v>-60</v>
      </c>
      <c r="K10">
        <f t="shared" si="1"/>
        <v>1340</v>
      </c>
    </row>
    <row r="11" spans="1:16" x14ac:dyDescent="0.25">
      <c r="A11" t="s">
        <v>0</v>
      </c>
      <c r="B11" s="2">
        <v>0</v>
      </c>
      <c r="C11">
        <v>1400</v>
      </c>
      <c r="D11">
        <v>1380</v>
      </c>
      <c r="E11">
        <v>1360</v>
      </c>
      <c r="F11">
        <v>1340</v>
      </c>
      <c r="G11">
        <v>1322</v>
      </c>
      <c r="H11">
        <v>1307</v>
      </c>
      <c r="J11">
        <f t="shared" si="0"/>
        <v>-100</v>
      </c>
      <c r="K11">
        <f t="shared" si="1"/>
        <v>1300</v>
      </c>
    </row>
    <row r="15" spans="1:16" x14ac:dyDescent="0.25">
      <c r="A15" t="s">
        <v>1</v>
      </c>
    </row>
    <row r="16" spans="1:16" x14ac:dyDescent="0.25">
      <c r="A16" s="2">
        <v>1</v>
      </c>
      <c r="B16" s="2">
        <v>6</v>
      </c>
      <c r="C16" s="2"/>
    </row>
    <row r="17" spans="1:3" x14ac:dyDescent="0.25">
      <c r="A17" s="2">
        <v>2</v>
      </c>
      <c r="B17" s="2">
        <v>7</v>
      </c>
      <c r="C17" s="2"/>
    </row>
    <row r="18" spans="1:3" x14ac:dyDescent="0.25">
      <c r="A18" s="2">
        <v>3</v>
      </c>
      <c r="B18" s="2">
        <v>8</v>
      </c>
      <c r="C18" s="2"/>
    </row>
    <row r="19" spans="1:3" x14ac:dyDescent="0.25">
      <c r="A19" s="2">
        <v>4</v>
      </c>
      <c r="B19" s="2">
        <v>9</v>
      </c>
      <c r="C19" s="2"/>
    </row>
    <row r="20" spans="1:3" x14ac:dyDescent="0.25">
      <c r="A20" s="2">
        <v>5</v>
      </c>
      <c r="B20" s="2">
        <v>10</v>
      </c>
      <c r="C20" s="2"/>
    </row>
    <row r="21" spans="1:3" x14ac:dyDescent="0.25">
      <c r="B21" s="2"/>
      <c r="C21" s="2"/>
    </row>
    <row r="22" spans="1:3" x14ac:dyDescent="0.25">
      <c r="A22" t="s">
        <v>13</v>
      </c>
      <c r="B22" s="2"/>
      <c r="C22" s="2"/>
    </row>
    <row r="23" spans="1:3" x14ac:dyDescent="0.25">
      <c r="A23" s="2">
        <v>1</v>
      </c>
      <c r="B23" s="2">
        <v>4</v>
      </c>
      <c r="C23" s="2"/>
    </row>
    <row r="24" spans="1:3" x14ac:dyDescent="0.25">
      <c r="A24" s="2">
        <v>2</v>
      </c>
      <c r="B24" s="2">
        <v>5</v>
      </c>
      <c r="C24" s="2"/>
    </row>
    <row r="25" spans="1:3" x14ac:dyDescent="0.25">
      <c r="A25" s="2">
        <v>3</v>
      </c>
      <c r="B25" s="2">
        <v>6</v>
      </c>
      <c r="C25" s="2"/>
    </row>
    <row r="26" spans="1:3" x14ac:dyDescent="0.25">
      <c r="A26" s="2">
        <v>7</v>
      </c>
      <c r="B26" s="2">
        <v>10</v>
      </c>
      <c r="C26" s="2"/>
    </row>
    <row r="27" spans="1:3" x14ac:dyDescent="0.25">
      <c r="A27" s="2">
        <v>8</v>
      </c>
      <c r="B27" s="2">
        <v>9</v>
      </c>
      <c r="C27" s="2"/>
    </row>
    <row r="28" spans="1:3" x14ac:dyDescent="0.25">
      <c r="B28" s="2"/>
      <c r="C28" s="2"/>
    </row>
    <row r="29" spans="1:3" x14ac:dyDescent="0.25">
      <c r="A29" t="s">
        <v>24</v>
      </c>
      <c r="B29" s="2"/>
      <c r="C29" s="2"/>
    </row>
    <row r="30" spans="1:3" x14ac:dyDescent="0.25">
      <c r="A30" s="2">
        <v>1</v>
      </c>
      <c r="B30" s="2">
        <v>3</v>
      </c>
      <c r="C30" s="2"/>
    </row>
    <row r="31" spans="1:3" x14ac:dyDescent="0.25">
      <c r="A31" s="2">
        <v>2</v>
      </c>
      <c r="B31" s="2">
        <v>4</v>
      </c>
      <c r="C31" s="2"/>
    </row>
    <row r="32" spans="1:3" x14ac:dyDescent="0.25">
      <c r="A32" s="2">
        <v>5</v>
      </c>
      <c r="B32" s="2">
        <v>7</v>
      </c>
      <c r="C32" s="2"/>
    </row>
    <row r="33" spans="1:4" x14ac:dyDescent="0.25">
      <c r="A33" s="2">
        <v>6</v>
      </c>
      <c r="B33" s="2">
        <v>8</v>
      </c>
      <c r="C33" s="2"/>
    </row>
    <row r="34" spans="1:4" x14ac:dyDescent="0.25">
      <c r="A34" s="2">
        <v>9</v>
      </c>
      <c r="B34" s="2">
        <v>10</v>
      </c>
      <c r="C34" s="2"/>
    </row>
    <row r="35" spans="1:4" x14ac:dyDescent="0.25">
      <c r="B35" s="2"/>
      <c r="C35" s="2"/>
      <c r="D35" s="2"/>
    </row>
    <row r="36" spans="1:4" x14ac:dyDescent="0.25">
      <c r="A36" t="s">
        <v>26</v>
      </c>
      <c r="B36" s="2"/>
      <c r="C36" s="2"/>
      <c r="D36" s="2"/>
    </row>
    <row r="37" spans="1:4" x14ac:dyDescent="0.25">
      <c r="A37" s="2">
        <v>1</v>
      </c>
      <c r="B37" s="2">
        <v>2</v>
      </c>
      <c r="C37" s="2"/>
      <c r="D37" s="2"/>
    </row>
    <row r="38" spans="1:4" x14ac:dyDescent="0.25">
      <c r="A38" s="2">
        <v>3</v>
      </c>
      <c r="B38" s="2">
        <v>5</v>
      </c>
      <c r="C38" s="2"/>
      <c r="D38" s="2"/>
    </row>
    <row r="39" spans="1:4" x14ac:dyDescent="0.25">
      <c r="A39" s="2">
        <v>6</v>
      </c>
      <c r="B39" s="2">
        <v>4</v>
      </c>
      <c r="C39" s="2"/>
      <c r="D39" s="2"/>
    </row>
    <row r="40" spans="1:4" x14ac:dyDescent="0.25">
      <c r="A40" s="2">
        <v>7</v>
      </c>
      <c r="B40" s="2">
        <v>9</v>
      </c>
      <c r="C40" s="2"/>
      <c r="D40" s="2"/>
    </row>
    <row r="41" spans="1:4" x14ac:dyDescent="0.25">
      <c r="A41" s="2">
        <v>8</v>
      </c>
      <c r="B41" s="2">
        <v>10</v>
      </c>
      <c r="C41" s="2"/>
      <c r="D41" s="2"/>
    </row>
    <row r="42" spans="1:4" x14ac:dyDescent="0.25">
      <c r="B42" s="2"/>
      <c r="C42" s="2"/>
      <c r="D42" s="2"/>
    </row>
    <row r="43" spans="1:4" x14ac:dyDescent="0.25">
      <c r="A43" t="s">
        <v>27</v>
      </c>
      <c r="B43" s="2"/>
      <c r="C43" s="2"/>
      <c r="D43" s="2"/>
    </row>
    <row r="44" spans="1:4" x14ac:dyDescent="0.25">
      <c r="A44" s="2">
        <v>1</v>
      </c>
      <c r="B44" s="2">
        <v>5</v>
      </c>
      <c r="C44" s="2" t="s">
        <v>14</v>
      </c>
      <c r="D44" s="2"/>
    </row>
    <row r="45" spans="1:4" x14ac:dyDescent="0.25">
      <c r="A45" s="2">
        <v>2</v>
      </c>
      <c r="B45" s="2">
        <v>3</v>
      </c>
      <c r="C45" s="2" t="s">
        <v>14</v>
      </c>
      <c r="D45" s="2"/>
    </row>
    <row r="46" spans="1:4" x14ac:dyDescent="0.25">
      <c r="A46" s="2">
        <v>4</v>
      </c>
      <c r="B46" s="2">
        <v>10</v>
      </c>
      <c r="C46" s="2" t="s">
        <v>14</v>
      </c>
      <c r="D46" s="2"/>
    </row>
    <row r="47" spans="1:4" x14ac:dyDescent="0.25">
      <c r="A47" s="2">
        <v>6</v>
      </c>
      <c r="B47" s="2">
        <v>9</v>
      </c>
      <c r="C47" s="2"/>
      <c r="D47" s="2"/>
    </row>
    <row r="48" spans="1:4" x14ac:dyDescent="0.25">
      <c r="A48" s="2">
        <v>7</v>
      </c>
      <c r="B48" s="2">
        <v>8</v>
      </c>
      <c r="C48" s="2"/>
      <c r="D48" s="2"/>
    </row>
    <row r="49" spans="2:4" x14ac:dyDescent="0.25">
      <c r="B49" s="2"/>
      <c r="C49" s="2"/>
      <c r="D49" s="2"/>
    </row>
    <row r="50" spans="2:4" x14ac:dyDescent="0.25">
      <c r="B50" s="2"/>
      <c r="C50" s="2"/>
      <c r="D50" s="2"/>
    </row>
    <row r="51" spans="2:4" x14ac:dyDescent="0.25">
      <c r="B51" s="2"/>
      <c r="C51" s="2"/>
      <c r="D51" s="2"/>
    </row>
    <row r="52" spans="2:4" x14ac:dyDescent="0.25">
      <c r="B52" s="2"/>
      <c r="C52" s="2"/>
      <c r="D52" s="2"/>
    </row>
    <row r="53" spans="2:4" x14ac:dyDescent="0.25">
      <c r="B53" s="2"/>
      <c r="C53" s="2"/>
      <c r="D53" s="2"/>
    </row>
    <row r="54" spans="2:4" x14ac:dyDescent="0.25">
      <c r="B54" s="2"/>
      <c r="C54" s="2"/>
      <c r="D54" s="2"/>
    </row>
    <row r="55" spans="2:4" x14ac:dyDescent="0.25">
      <c r="B55" s="2"/>
      <c r="C55" s="2"/>
      <c r="D55" s="2"/>
    </row>
    <row r="56" spans="2:4" x14ac:dyDescent="0.25">
      <c r="B56" s="2"/>
      <c r="C56" s="2"/>
      <c r="D56" s="2"/>
    </row>
    <row r="57" spans="2:4" x14ac:dyDescent="0.25">
      <c r="B57" s="2"/>
      <c r="C57" s="2"/>
      <c r="D57" s="2"/>
    </row>
    <row r="58" spans="2:4" x14ac:dyDescent="0.25">
      <c r="B58" s="2"/>
      <c r="C58" s="2"/>
      <c r="D58" s="2"/>
    </row>
    <row r="59" spans="2:4" x14ac:dyDescent="0.25">
      <c r="D59" s="2"/>
    </row>
    <row r="60" spans="2:4" x14ac:dyDescent="0.25">
      <c r="D60" s="2"/>
    </row>
    <row r="61" spans="2:4" x14ac:dyDescent="0.25">
      <c r="D61" s="2"/>
    </row>
    <row r="62" spans="2:4" x14ac:dyDescent="0.25">
      <c r="D62" s="2"/>
    </row>
    <row r="63" spans="2:4" x14ac:dyDescent="0.25">
      <c r="D63" s="2"/>
    </row>
  </sheetData>
  <sortState xmlns:xlrd2="http://schemas.microsoft.com/office/spreadsheetml/2017/richdata2" ref="A2:H63">
    <sortCondition descending="1" ref="H1:H6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Dejan Subotic</dc:creator>
  <cp:lastModifiedBy>Dejan Subotic</cp:lastModifiedBy>
  <dcterms:created xsi:type="dcterms:W3CDTF">2023-12-16T05:05:04Z</dcterms:created>
  <dcterms:modified xsi:type="dcterms:W3CDTF">2023-12-16T06:31:28Z</dcterms:modified>
</cp:coreProperties>
</file>